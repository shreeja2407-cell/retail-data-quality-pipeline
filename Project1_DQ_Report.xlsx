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969da03bb1a88c/Desktop/SQLEXCEL PROJECT/retail_csv_for_postgres/"/>
    </mc:Choice>
  </mc:AlternateContent>
  <xr:revisionPtr revIDLastSave="133" documentId="8_{E5050EB1-BCDA-4A56-A36C-5AB8D44B0AAB}" xr6:coauthVersionLast="47" xr6:coauthVersionMax="47" xr10:uidLastSave="{6654B6C9-F0DD-4EF8-9136-67E8D077DDA8}"/>
  <bookViews>
    <workbookView xWindow="-108" yWindow="-108" windowWidth="23256" windowHeight="12456" xr2:uid="{39107C17-459B-46BE-A97B-DA6C732EB26B}"/>
  </bookViews>
  <sheets>
    <sheet name="dq_summary" sheetId="1" r:id="rId1"/>
    <sheet name="Findings_Log" sheetId="4" r:id="rId2"/>
    <sheet name="Reconciliation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  <c r="B11" i="5" s="1"/>
  <c r="B12" i="5"/>
  <c r="B13" i="5"/>
  <c r="B15" i="5"/>
  <c r="D13" i="4"/>
  <c r="E13" i="4" s="1"/>
  <c r="E14" i="4"/>
  <c r="C12" i="1"/>
  <c r="B12" i="1"/>
</calcChain>
</file>

<file path=xl/sharedStrings.xml><?xml version="1.0" encoding="utf-8"?>
<sst xmlns="http://schemas.openxmlformats.org/spreadsheetml/2006/main" count="90" uniqueCount="83">
  <si>
    <t>dq_status</t>
  </si>
  <si>
    <t>rows</t>
  </si>
  <si>
    <t>pct_of_rows</t>
  </si>
  <si>
    <t>sales_value_gbp</t>
  </si>
  <si>
    <t>PASS</t>
  </si>
  <si>
    <t>Retail Data Quality Report:Online Retail II (1067371 Transactions)</t>
  </si>
  <si>
    <t xml:space="preserve">TOTAL </t>
  </si>
  <si>
    <t>Metric</t>
  </si>
  <si>
    <t>Formula</t>
  </si>
  <si>
    <t>Total records</t>
  </si>
  <si>
    <t>=SUM(rows column)</t>
  </si>
  <si>
    <t>Clean records (PASS)</t>
  </si>
  <si>
    <t>the PASS row's count</t>
  </si>
  <si>
    <t>Data quality pass rate</t>
  </si>
  <si>
    <r>
      <t>= PASS rows / Total records</t>
    </r>
    <r>
      <rPr>
        <sz val="11"/>
        <color theme="1"/>
        <rFont val="Aptos Narrow"/>
        <family val="2"/>
        <scheme val="minor"/>
      </rPr>
      <t xml:space="preserve"> (format as %, so you'll see </t>
    </r>
    <r>
      <rPr>
        <b/>
        <sz val="11"/>
        <color theme="1"/>
        <rFont val="Aptos Narrow"/>
        <family val="2"/>
        <scheme val="minor"/>
      </rPr>
      <t>93.1%</t>
    </r>
    <r>
      <rPr>
        <sz val="11"/>
        <color theme="1"/>
        <rFont val="Aptos Narrow"/>
        <family val="2"/>
        <scheme val="minor"/>
      </rPr>
      <t>)</t>
    </r>
  </si>
  <si>
    <t>Records excluded</t>
  </si>
  <si>
    <t>= Total − PASS</t>
  </si>
  <si>
    <t>Duplicate row</t>
  </si>
  <si>
    <t xml:space="preserve"> Cancellation</t>
  </si>
  <si>
    <t>Bad-debt adjustment</t>
  </si>
  <si>
    <t xml:space="preserve"> Non-product code</t>
  </si>
  <si>
    <t>Order later cancelled</t>
  </si>
  <si>
    <t xml:space="preserve"> Zero/negative quantity</t>
  </si>
  <si>
    <t>Zero price</t>
  </si>
  <si>
    <t>Note: rows 8 and 9 are counted within the clean data - they are flags, not exclusions.</t>
  </si>
  <si>
    <t>Note: each row is counted under only the first rule it failed, so no row is counted twice.</t>
  </si>
  <si>
    <t>Used for analysis</t>
  </si>
  <si>
    <t>Clean rows (PASS)</t>
  </si>
  <si>
    <t>Total excluded</t>
  </si>
  <si>
    <t>Real sales; send to coding team for proper codes</t>
  </si>
  <si>
    <t>Keep, flagged (needs_recoding)</t>
  </si>
  <si>
    <t>DCGS codes (party bags, dog collars): real items, wrong code format</t>
  </si>
  <si>
    <t>Non-standard product codes</t>
  </si>
  <si>
    <t>Sale still happened; exclude only from customer analysis</t>
  </si>
  <si>
    <t>Keep, flagged (missing_customer)</t>
  </si>
  <si>
    <t>22.8% of clean rows have no customer ID</t>
  </si>
  <si>
    <t>Missing customer ID</t>
  </si>
  <si>
    <t>No revenue: free items or adjustments</t>
  </si>
  <si>
    <t>Exclude</t>
  </si>
  <si>
    <t>Items with price 0</t>
  </si>
  <si>
    <t>Warehouse adjustments, not sales</t>
  </si>
  <si>
    <t>Stock write-offs: damaged, missing, thrown away, blank descriptions</t>
  </si>
  <si>
    <t>Zero/negative quantity</t>
  </si>
  <si>
    <t>Sale never really happened; would overstate sales</t>
  </si>
  <si>
    <t>Orders with a matching cancellation (same customer, product, opposite qty), incl. 80,995 and 74,215-unit orders</t>
  </si>
  <si>
    <t>Orders later cancelled</t>
  </si>
  <si>
    <t>Postage, fees, manual adjustments and tests are not product sales</t>
  </si>
  <si>
    <t>POST, DOT, M, C2, BANK CHARGES, AMAZONFEE, TEST001, gift vouchers</t>
  </si>
  <si>
    <t>Non-product codes</t>
  </si>
  <si>
    <t>Accounting entries, not sales; small row count but large value</t>
  </si>
  <si>
    <t>Invoices starting with A, description 'Adjust bad debt'</t>
  </si>
  <si>
    <t>Bad-debt adjustments</t>
  </si>
  <si>
    <t>Reversals, not sales</t>
  </si>
  <si>
    <t>Invoices starting with C, negative quantities</t>
  </si>
  <si>
    <t>Cancellations</t>
  </si>
  <si>
    <t>Same sale would be counted twice</t>
  </si>
  <si>
    <t>Exclude extra copies, keep 1</t>
  </si>
  <si>
    <t>Identical rows; most come from the 1-9 Dec 2010 overlap between the two source sheets</t>
  </si>
  <si>
    <t>Duplicate rows</t>
  </si>
  <si>
    <t>Row count did not match the source file</t>
  </si>
  <si>
    <t>Fixed: truncated and reloaded</t>
  </si>
  <si>
    <t>2009-10 file was imported twice (1,050,922 rows instead of 525,461)</t>
  </si>
  <si>
    <t>Load check</t>
  </si>
  <si>
    <t>Reason</t>
  </si>
  <si>
    <t>Decision</t>
  </si>
  <si>
    <t>Sales value (GBP)</t>
  </si>
  <si>
    <t>% of raw rows</t>
  </si>
  <si>
    <t>Rows affected</t>
  </si>
  <si>
    <t>What we found</t>
  </si>
  <si>
    <t>Check</t>
  </si>
  <si>
    <t>#</t>
  </si>
  <si>
    <t>Clean sales value (GBP)</t>
  </si>
  <si>
    <t>Check 3: validated = clean + excluded</t>
  </si>
  <si>
    <t>Check 2: loaded = validated</t>
  </si>
  <si>
    <t>Check 1: source = loaded</t>
  </si>
  <si>
    <t>Excluded rows</t>
  </si>
  <si>
    <t>Clean rows (PASS -&gt; sales_clean)</t>
  </si>
  <si>
    <t>Rows in validated table (sales_validated)</t>
  </si>
  <si>
    <t>Rows loaded into PostgreSQL (raw_sales)</t>
  </si>
  <si>
    <t>Total source rows</t>
  </si>
  <si>
    <t>Rows in source sheet 'Year 2010-2011'</t>
  </si>
  <si>
    <t>Rows in source sheet 'Year 2009-2010'</t>
  </si>
  <si>
    <t>Reconciliation: proof that no data was 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</si>
</sst>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Calibri"/>
      <family val="2"/>
      <charset val="1"/>
    </font>
    <font>
      <sz val="11"/>
      <name val="Arial"/>
      <family val="2"/>
    </font>
    <font>
      <b/>
      <sz val="11"/>
      <name val="Arial"/>
      <family val="2"/>
    </font>
    <font>
      <b/>
      <sz val="14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23">
    <xf numFmtId="0" fontId="0" fillId="0" borderId="0" xfId="0"/>
    <xf numFmtId="0" fontId="16" fillId="0" borderId="0" xfId="0" applyFont="1"/>
    <xf numFmtId="0" fontId="18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9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20" fillId="0" borderId="0" xfId="42"/>
    <xf numFmtId="0" fontId="21" fillId="0" borderId="0" xfId="42" applyFont="1"/>
    <xf numFmtId="0" fontId="23" fillId="0" borderId="0" xfId="42" applyFont="1"/>
    <xf numFmtId="0" fontId="22" fillId="0" borderId="10" xfId="42" applyFont="1" applyBorder="1"/>
    <xf numFmtId="0" fontId="21" fillId="0" borderId="10" xfId="42" applyFont="1" applyBorder="1"/>
    <xf numFmtId="3" fontId="21" fillId="0" borderId="10" xfId="42" applyNumberFormat="1" applyFont="1" applyBorder="1"/>
    <xf numFmtId="10" fontId="21" fillId="0" borderId="10" xfId="42" applyNumberFormat="1" applyFont="1" applyBorder="1"/>
    <xf numFmtId="37" fontId="21" fillId="0" borderId="10" xfId="42" applyNumberFormat="1" applyFont="1" applyBorder="1"/>
    <xf numFmtId="0" fontId="22" fillId="33" borderId="10" xfId="42" applyFont="1" applyFill="1" applyBorder="1"/>
    <xf numFmtId="3" fontId="22" fillId="33" borderId="10" xfId="42" applyNumberFormat="1" applyFont="1" applyFill="1" applyBorder="1"/>
    <xf numFmtId="10" fontId="22" fillId="33" borderId="10" xfId="42" applyNumberFormat="1" applyFont="1" applyFill="1" applyBorder="1"/>
    <xf numFmtId="37" fontId="22" fillId="33" borderId="10" xfId="42" applyNumberFormat="1" applyFont="1" applyFill="1" applyBorder="1"/>
    <xf numFmtId="164" fontId="21" fillId="0" borderId="10" xfId="42" applyNumberFormat="1" applyFont="1" applyBorder="1"/>
    <xf numFmtId="0" fontId="21" fillId="34" borderId="10" xfId="42" applyFont="1" applyFill="1" applyBorder="1"/>
    <xf numFmtId="0" fontId="21" fillId="35" borderId="10" xfId="42" applyFont="1" applyFill="1" applyBorder="1"/>
    <xf numFmtId="3" fontId="21" fillId="35" borderId="10" xfId="42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6C70F37-0830-45B4-BFE8-43746D9B7A8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Why</a:t>
            </a:r>
            <a:r>
              <a:rPr lang="en-US" b="1" baseline="0"/>
              <a:t> 73,262 records were excluded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dq_summary!$B$3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CF1-477E-87BF-2D4E7615752F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CF1-477E-87BF-2D4E7615752F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ECF1-477E-87BF-2D4E7615752F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ECF1-477E-87BF-2D4E7615752F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ECF1-477E-87BF-2D4E761575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dq_summary!$A$4:$A$10</c:f>
              <c:strCache>
                <c:ptCount val="7"/>
                <c:pt idx="0">
                  <c:v>Duplicate row</c:v>
                </c:pt>
                <c:pt idx="1">
                  <c:v> Cancellation</c:v>
                </c:pt>
                <c:pt idx="2">
                  <c:v>Bad-debt adjustment</c:v>
                </c:pt>
                <c:pt idx="3">
                  <c:v> Non-product code</c:v>
                </c:pt>
                <c:pt idx="4">
                  <c:v>Order later cancelled</c:v>
                </c:pt>
                <c:pt idx="5">
                  <c:v> Zero/negative quantity</c:v>
                </c:pt>
                <c:pt idx="6">
                  <c:v>Zero price</c:v>
                </c:pt>
              </c:strCache>
            </c:strRef>
          </c:cat>
          <c:val>
            <c:numRef>
              <c:f>dq_summary!$B$4:$B$10</c:f>
              <c:numCache>
                <c:formatCode>General</c:formatCode>
                <c:ptCount val="7"/>
                <c:pt idx="0">
                  <c:v>34335</c:v>
                </c:pt>
                <c:pt idx="1">
                  <c:v>19104</c:v>
                </c:pt>
                <c:pt idx="2">
                  <c:v>6</c:v>
                </c:pt>
                <c:pt idx="3">
                  <c:v>4628</c:v>
                </c:pt>
                <c:pt idx="4">
                  <c:v>9229</c:v>
                </c:pt>
                <c:pt idx="5">
                  <c:v>3390</c:v>
                </c:pt>
                <c:pt idx="6">
                  <c:v>2570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F1-477E-87BF-2D4E761575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4"/>
        <c:overlap val="-27"/>
        <c:axId val="1476372639"/>
        <c:axId val="1387934607"/>
      </c:barChart>
      <c:catAx>
        <c:axId val="147637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934607"/>
        <c:crosses val="autoZero"/>
        <c:auto val="1"/>
        <c:lblAlgn val="ctr"/>
        <c:lblOffset val="100"/>
        <c:noMultiLvlLbl val="0"/>
      </c:catAx>
      <c:valAx>
        <c:axId val="138793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37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12</xdr:row>
      <xdr:rowOff>152400</xdr:rowOff>
    </xdr:from>
    <xdr:to>
      <xdr:col>3</xdr:col>
      <xdr:colOff>38100</xdr:colOff>
      <xdr:row>27</xdr:row>
      <xdr:rowOff>22860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50D21660-A193-AEA2-5AC2-103FCFD0A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157CE3-3A78-4A8E-B2F2-48EA0538C35E}" name="Table1" displayName="Table1" ref="A3:D12" totalsRowShown="0">
  <autoFilter ref="A3:D12" xr:uid="{1A157CE3-3A78-4A8E-B2F2-48EA0538C35E}"/>
  <tableColumns count="4">
    <tableColumn id="1" xr3:uid="{B07721CD-57FA-4C9C-813C-6E6ACDD7C01D}" name="dq_status"/>
    <tableColumn id="2" xr3:uid="{9E343543-8258-4C5B-8BA3-77E067DCC743}" name="rows"/>
    <tableColumn id="3" xr3:uid="{6B62FA75-EE32-4897-A177-FDE6C8069E4A}" name="pct_of_rows"/>
    <tableColumn id="4" xr3:uid="{E228AACE-BB95-49E0-83AB-571166D213FE}" name="sales_value_gbp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EC76EA-BD1A-4875-B9F0-F0C68C60C252}" name="Table2" displayName="Table2" ref="G11:H15" totalsRowShown="0" headerRowDxfId="4">
  <autoFilter ref="G11:H15" xr:uid="{03EC76EA-BD1A-4875-B9F0-F0C68C60C252}"/>
  <tableColumns count="2">
    <tableColumn id="1" xr3:uid="{C2C8BCCC-72C4-43A3-9660-0B70907E8160}" name="Metric" dataDxfId="3"/>
    <tableColumn id="2" xr3:uid="{152E8799-8118-435E-9B23-45A956F4B567}" name="Formula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A92C-4259-43D4-892C-78D49C6D2121}">
  <dimension ref="A1:H15"/>
  <sheetViews>
    <sheetView tabSelected="1" workbookViewId="0">
      <selection activeCell="G20" sqref="G20"/>
    </sheetView>
  </sheetViews>
  <sheetFormatPr defaultRowHeight="14.4"/>
  <cols>
    <col min="1" max="1" width="45" customWidth="1"/>
    <col min="3" max="3" width="12.6640625" customWidth="1"/>
    <col min="4" max="4" width="16.33203125" customWidth="1"/>
    <col min="7" max="7" width="20.21875" customWidth="1"/>
    <col min="8" max="8" width="22.33203125" customWidth="1"/>
  </cols>
  <sheetData>
    <row r="1" spans="1:8" ht="36.6" customHeight="1">
      <c r="A1" s="2" t="s">
        <v>5</v>
      </c>
    </row>
    <row r="3" spans="1:8">
      <c r="A3" t="s">
        <v>0</v>
      </c>
      <c r="B3" t="s">
        <v>1</v>
      </c>
      <c r="C3" t="s">
        <v>2</v>
      </c>
      <c r="D3" t="s">
        <v>3</v>
      </c>
      <c r="F3" s="1"/>
    </row>
    <row r="4" spans="1:8">
      <c r="A4" t="s">
        <v>17</v>
      </c>
      <c r="B4">
        <v>34335</v>
      </c>
      <c r="C4">
        <v>3.22</v>
      </c>
      <c r="D4">
        <v>431717</v>
      </c>
    </row>
    <row r="5" spans="1:8">
      <c r="A5" t="s">
        <v>18</v>
      </c>
      <c r="B5">
        <v>19104</v>
      </c>
      <c r="C5">
        <v>1.79</v>
      </c>
      <c r="D5">
        <v>-1462051</v>
      </c>
    </row>
    <row r="6" spans="1:8">
      <c r="A6" t="s">
        <v>19</v>
      </c>
      <c r="B6">
        <v>6</v>
      </c>
      <c r="C6">
        <v>0</v>
      </c>
      <c r="D6">
        <v>-147614</v>
      </c>
    </row>
    <row r="7" spans="1:8">
      <c r="A7" t="s">
        <v>20</v>
      </c>
      <c r="B7">
        <v>4628</v>
      </c>
      <c r="C7">
        <v>0.43</v>
      </c>
      <c r="D7">
        <v>821368</v>
      </c>
    </row>
    <row r="8" spans="1:8">
      <c r="A8" t="s">
        <v>21</v>
      </c>
      <c r="B8">
        <v>9229</v>
      </c>
      <c r="C8">
        <v>0.86</v>
      </c>
      <c r="D8">
        <v>731340</v>
      </c>
    </row>
    <row r="9" spans="1:8">
      <c r="A9" t="s">
        <v>22</v>
      </c>
      <c r="B9">
        <v>3390</v>
      </c>
      <c r="C9">
        <v>0.32</v>
      </c>
      <c r="D9">
        <v>0</v>
      </c>
    </row>
    <row r="10" spans="1:8">
      <c r="A10" t="s">
        <v>23</v>
      </c>
      <c r="B10">
        <v>2570</v>
      </c>
      <c r="C10">
        <v>0.24</v>
      </c>
      <c r="D10">
        <v>0</v>
      </c>
    </row>
    <row r="11" spans="1:8">
      <c r="A11" t="s">
        <v>4</v>
      </c>
      <c r="B11">
        <v>994109</v>
      </c>
      <c r="C11">
        <v>93.14</v>
      </c>
      <c r="D11">
        <v>18912490</v>
      </c>
      <c r="G11" s="3" t="s">
        <v>7</v>
      </c>
      <c r="H11" s="3" t="s">
        <v>8</v>
      </c>
    </row>
    <row r="12" spans="1:8" ht="21" customHeight="1">
      <c r="A12" t="s">
        <v>6</v>
      </c>
      <c r="B12">
        <f>SUM(B4:B11)</f>
        <v>1067371</v>
      </c>
      <c r="C12">
        <f>SUM(C4:C11)</f>
        <v>100</v>
      </c>
      <c r="G12" s="4" t="s">
        <v>9</v>
      </c>
      <c r="H12" s="5" t="s">
        <v>10</v>
      </c>
    </row>
    <row r="13" spans="1:8">
      <c r="G13" s="4" t="s">
        <v>11</v>
      </c>
      <c r="H13" s="4" t="s">
        <v>12</v>
      </c>
    </row>
    <row r="14" spans="1:8" ht="24.6" customHeight="1">
      <c r="G14" s="6" t="s">
        <v>13</v>
      </c>
      <c r="H14" s="5" t="s">
        <v>14</v>
      </c>
    </row>
    <row r="15" spans="1:8">
      <c r="G15" s="4" t="s">
        <v>15</v>
      </c>
      <c r="H15" s="5" t="s">
        <v>16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06515-737E-4BC4-AE3B-C0F52F56311A}">
  <dimension ref="A1:H16"/>
  <sheetViews>
    <sheetView zoomScaleNormal="100" workbookViewId="0">
      <selection activeCell="C24" sqref="C24"/>
    </sheetView>
  </sheetViews>
  <sheetFormatPr defaultColWidth="8.6640625" defaultRowHeight="14.4"/>
  <cols>
    <col min="1" max="1" width="5" style="7" customWidth="1"/>
    <col min="2" max="2" width="26" style="7" customWidth="1"/>
    <col min="3" max="3" width="70" style="7" customWidth="1"/>
    <col min="4" max="4" width="19" style="7" customWidth="1"/>
    <col min="5" max="5" width="19.5546875" style="7" customWidth="1"/>
    <col min="6" max="6" width="19.109375" style="7" customWidth="1"/>
    <col min="7" max="7" width="35.5546875" style="7" customWidth="1"/>
    <col min="8" max="8" width="55" style="7" customWidth="1"/>
    <col min="9" max="16384" width="8.6640625" style="7"/>
  </cols>
  <sheetData>
    <row r="1" spans="1:8" ht="15" customHeight="1">
      <c r="A1" s="15" t="s">
        <v>70</v>
      </c>
      <c r="B1" s="15" t="s">
        <v>69</v>
      </c>
      <c r="C1" s="15" t="s">
        <v>68</v>
      </c>
      <c r="D1" s="15" t="s">
        <v>67</v>
      </c>
      <c r="E1" s="15" t="s">
        <v>66</v>
      </c>
      <c r="F1" s="15" t="s">
        <v>65</v>
      </c>
      <c r="G1" s="15" t="s">
        <v>64</v>
      </c>
      <c r="H1" s="15" t="s">
        <v>63</v>
      </c>
    </row>
    <row r="2" spans="1:8" ht="15" customHeight="1">
      <c r="A2" s="11">
        <v>0</v>
      </c>
      <c r="B2" s="11" t="s">
        <v>62</v>
      </c>
      <c r="C2" s="11" t="s">
        <v>61</v>
      </c>
      <c r="D2" s="12">
        <v>525461</v>
      </c>
      <c r="E2" s="13"/>
      <c r="F2" s="14"/>
      <c r="G2" s="11" t="s">
        <v>60</v>
      </c>
      <c r="H2" s="11" t="s">
        <v>59</v>
      </c>
    </row>
    <row r="3" spans="1:8" ht="15" customHeight="1">
      <c r="A3" s="11">
        <v>1</v>
      </c>
      <c r="B3" s="11" t="s">
        <v>58</v>
      </c>
      <c r="C3" s="11" t="s">
        <v>57</v>
      </c>
      <c r="D3" s="12">
        <v>34335</v>
      </c>
      <c r="E3" s="13">
        <v>3.2199999999999999E-2</v>
      </c>
      <c r="F3" s="14">
        <v>431717</v>
      </c>
      <c r="G3" s="11" t="s">
        <v>56</v>
      </c>
      <c r="H3" s="11" t="s">
        <v>55</v>
      </c>
    </row>
    <row r="4" spans="1:8" ht="15" customHeight="1">
      <c r="A4" s="11">
        <v>2</v>
      </c>
      <c r="B4" s="11" t="s">
        <v>54</v>
      </c>
      <c r="C4" s="11" t="s">
        <v>53</v>
      </c>
      <c r="D4" s="12">
        <v>19104</v>
      </c>
      <c r="E4" s="13">
        <v>1.7899999999999999E-2</v>
      </c>
      <c r="F4" s="14">
        <v>-1462051</v>
      </c>
      <c r="G4" s="11" t="s">
        <v>38</v>
      </c>
      <c r="H4" s="11" t="s">
        <v>52</v>
      </c>
    </row>
    <row r="5" spans="1:8" ht="15" customHeight="1">
      <c r="A5" s="11">
        <v>3</v>
      </c>
      <c r="B5" s="11" t="s">
        <v>51</v>
      </c>
      <c r="C5" s="11" t="s">
        <v>50</v>
      </c>
      <c r="D5" s="12">
        <v>6</v>
      </c>
      <c r="E5" s="13">
        <v>0</v>
      </c>
      <c r="F5" s="14">
        <v>-147614</v>
      </c>
      <c r="G5" s="11" t="s">
        <v>38</v>
      </c>
      <c r="H5" s="11" t="s">
        <v>49</v>
      </c>
    </row>
    <row r="6" spans="1:8" ht="15" customHeight="1">
      <c r="A6" s="11">
        <v>4</v>
      </c>
      <c r="B6" s="11" t="s">
        <v>48</v>
      </c>
      <c r="C6" s="11" t="s">
        <v>47</v>
      </c>
      <c r="D6" s="12">
        <v>4628</v>
      </c>
      <c r="E6" s="13">
        <v>4.3E-3</v>
      </c>
      <c r="F6" s="14">
        <v>821368</v>
      </c>
      <c r="G6" s="11" t="s">
        <v>38</v>
      </c>
      <c r="H6" s="11" t="s">
        <v>46</v>
      </c>
    </row>
    <row r="7" spans="1:8" ht="15" customHeight="1">
      <c r="A7" s="11">
        <v>5</v>
      </c>
      <c r="B7" s="11" t="s">
        <v>45</v>
      </c>
      <c r="C7" s="11" t="s">
        <v>44</v>
      </c>
      <c r="D7" s="12">
        <v>9229</v>
      </c>
      <c r="E7" s="13">
        <v>8.6E-3</v>
      </c>
      <c r="F7" s="14">
        <v>731340</v>
      </c>
      <c r="G7" s="11" t="s">
        <v>38</v>
      </c>
      <c r="H7" s="11" t="s">
        <v>43</v>
      </c>
    </row>
    <row r="8" spans="1:8" ht="15" customHeight="1">
      <c r="A8" s="11">
        <v>6</v>
      </c>
      <c r="B8" s="11" t="s">
        <v>42</v>
      </c>
      <c r="C8" s="11" t="s">
        <v>41</v>
      </c>
      <c r="D8" s="12">
        <v>3390</v>
      </c>
      <c r="E8" s="13">
        <v>3.2000000000000002E-3</v>
      </c>
      <c r="F8" s="14">
        <v>0</v>
      </c>
      <c r="G8" s="11" t="s">
        <v>38</v>
      </c>
      <c r="H8" s="11" t="s">
        <v>40</v>
      </c>
    </row>
    <row r="9" spans="1:8" ht="15" customHeight="1">
      <c r="A9" s="11">
        <v>7</v>
      </c>
      <c r="B9" s="11" t="s">
        <v>23</v>
      </c>
      <c r="C9" s="11" t="s">
        <v>39</v>
      </c>
      <c r="D9" s="12">
        <v>2570</v>
      </c>
      <c r="E9" s="13">
        <v>2.3999999999999998E-3</v>
      </c>
      <c r="F9" s="14">
        <v>0</v>
      </c>
      <c r="G9" s="11" t="s">
        <v>38</v>
      </c>
      <c r="H9" s="11" t="s">
        <v>37</v>
      </c>
    </row>
    <row r="10" spans="1:8" ht="15" customHeight="1">
      <c r="A10" s="11">
        <v>8</v>
      </c>
      <c r="B10" s="11" t="s">
        <v>36</v>
      </c>
      <c r="C10" s="11" t="s">
        <v>35</v>
      </c>
      <c r="D10" s="12">
        <v>226760</v>
      </c>
      <c r="E10" s="13"/>
      <c r="F10" s="14"/>
      <c r="G10" s="11" t="s">
        <v>34</v>
      </c>
      <c r="H10" s="11" t="s">
        <v>33</v>
      </c>
    </row>
    <row r="11" spans="1:8" ht="15" customHeight="1">
      <c r="A11" s="11">
        <v>9</v>
      </c>
      <c r="B11" s="11" t="s">
        <v>32</v>
      </c>
      <c r="C11" s="11" t="s">
        <v>31</v>
      </c>
      <c r="D11" s="12">
        <v>124</v>
      </c>
      <c r="E11" s="13"/>
      <c r="F11" s="14"/>
      <c r="G11" s="11" t="s">
        <v>30</v>
      </c>
      <c r="H11" s="11" t="s">
        <v>29</v>
      </c>
    </row>
    <row r="12" spans="1:8" ht="15" customHeight="1">
      <c r="A12" s="11"/>
      <c r="B12" s="11"/>
      <c r="C12" s="11"/>
      <c r="D12" s="12"/>
      <c r="E12" s="13"/>
      <c r="F12" s="14"/>
      <c r="G12" s="11"/>
      <c r="H12" s="11"/>
    </row>
    <row r="13" spans="1:8" ht="15" customHeight="1">
      <c r="A13" s="10"/>
      <c r="B13" s="15" t="s">
        <v>28</v>
      </c>
      <c r="C13" s="15"/>
      <c r="D13" s="16">
        <f>SUM(D3:D9)</f>
        <v>73262</v>
      </c>
      <c r="E13" s="17">
        <f>D13/1067371</f>
        <v>6.8637802600970049E-2</v>
      </c>
      <c r="F13" s="18"/>
      <c r="G13" s="15"/>
      <c r="H13" s="10"/>
    </row>
    <row r="14" spans="1:8" ht="15" customHeight="1">
      <c r="A14" s="10"/>
      <c r="B14" s="15" t="s">
        <v>27</v>
      </c>
      <c r="C14" s="15"/>
      <c r="D14" s="16">
        <v>994109</v>
      </c>
      <c r="E14" s="17">
        <f>D14/1067371</f>
        <v>0.93136219739902992</v>
      </c>
      <c r="F14" s="18">
        <v>18912490</v>
      </c>
      <c r="G14" s="15" t="s">
        <v>26</v>
      </c>
      <c r="H14" s="10"/>
    </row>
    <row r="15" spans="1:8" ht="15" customHeight="1">
      <c r="A15" s="8"/>
      <c r="B15" s="8" t="s">
        <v>25</v>
      </c>
      <c r="C15" s="8"/>
      <c r="D15" s="8"/>
      <c r="E15" s="8"/>
      <c r="F15" s="8"/>
      <c r="G15" s="8"/>
      <c r="H15" s="8"/>
    </row>
    <row r="16" spans="1:8" ht="15" customHeight="1">
      <c r="A16" s="8"/>
      <c r="B16" s="8" t="s">
        <v>24</v>
      </c>
      <c r="C16" s="8"/>
      <c r="D16" s="8"/>
      <c r="E16" s="8"/>
      <c r="F16" s="8"/>
      <c r="G16" s="8"/>
      <c r="H16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93032-6681-4972-ADA7-08313D269FA3}">
  <dimension ref="A1:B16"/>
  <sheetViews>
    <sheetView topLeftCell="A5" zoomScaleNormal="100" workbookViewId="0">
      <selection activeCell="G10" sqref="G10"/>
    </sheetView>
  </sheetViews>
  <sheetFormatPr defaultColWidth="8.6640625" defaultRowHeight="14.4"/>
  <cols>
    <col min="1" max="1" width="45" style="7" customWidth="1"/>
    <col min="2" max="2" width="18" style="7" customWidth="1"/>
    <col min="3" max="16384" width="8.6640625" style="7"/>
  </cols>
  <sheetData>
    <row r="1" spans="1:2" ht="17.25" customHeight="1">
      <c r="A1" s="9" t="s">
        <v>82</v>
      </c>
    </row>
    <row r="2" spans="1:2" ht="15" customHeight="1">
      <c r="A2" s="8"/>
      <c r="B2" s="8"/>
    </row>
    <row r="3" spans="1:2" ht="15" customHeight="1">
      <c r="A3" s="11" t="s">
        <v>81</v>
      </c>
      <c r="B3" s="12">
        <v>525461</v>
      </c>
    </row>
    <row r="4" spans="1:2" ht="15" customHeight="1">
      <c r="A4" s="11" t="s">
        <v>80</v>
      </c>
      <c r="B4" s="12">
        <v>541910</v>
      </c>
    </row>
    <row r="5" spans="1:2" ht="15" customHeight="1">
      <c r="A5" s="11" t="s">
        <v>79</v>
      </c>
      <c r="B5" s="12">
        <f>B3+B4</f>
        <v>1067371</v>
      </c>
    </row>
    <row r="6" spans="1:2" ht="15" customHeight="1">
      <c r="A6" s="11" t="s">
        <v>78</v>
      </c>
      <c r="B6" s="12">
        <v>1067371</v>
      </c>
    </row>
    <row r="7" spans="1:2" ht="15" customHeight="1">
      <c r="A7" s="11" t="s">
        <v>77</v>
      </c>
      <c r="B7" s="12">
        <v>1067371</v>
      </c>
    </row>
    <row r="8" spans="1:2" ht="15" customHeight="1">
      <c r="A8" s="11" t="s">
        <v>76</v>
      </c>
      <c r="B8" s="12">
        <v>994109</v>
      </c>
    </row>
    <row r="9" spans="1:2" ht="15" customHeight="1">
      <c r="A9" s="21" t="s">
        <v>75</v>
      </c>
      <c r="B9" s="22">
        <v>73262</v>
      </c>
    </row>
    <row r="10" spans="1:2" ht="15" customHeight="1">
      <c r="A10" s="11"/>
      <c r="B10" s="11"/>
    </row>
    <row r="11" spans="1:2" ht="15" customHeight="1">
      <c r="A11" s="20" t="s">
        <v>74</v>
      </c>
      <c r="B11" s="11" t="str">
        <f>IF(B5=B6,"✔ Match","✘ Mismatch")</f>
        <v>✔ Match</v>
      </c>
    </row>
    <row r="12" spans="1:2" ht="15" customHeight="1">
      <c r="A12" s="20" t="s">
        <v>73</v>
      </c>
      <c r="B12" s="11" t="str">
        <f>IF(B6=B7,"✔ Match","✘ Mismatch")</f>
        <v>✔ Match</v>
      </c>
    </row>
    <row r="13" spans="1:2" ht="15" customHeight="1">
      <c r="A13" s="20" t="s">
        <v>72</v>
      </c>
      <c r="B13" s="11" t="str">
        <f>IF(B7=B8+B9,"✔ Match","✘ Mismatch")</f>
        <v>✔ Match</v>
      </c>
    </row>
    <row r="14" spans="1:2" ht="15" customHeight="1">
      <c r="A14" s="11"/>
      <c r="B14" s="11"/>
    </row>
    <row r="15" spans="1:2" ht="15" customHeight="1">
      <c r="A15" s="11" t="s">
        <v>13</v>
      </c>
      <c r="B15" s="19">
        <f>B8/B7</f>
        <v>0.93136219739902992</v>
      </c>
    </row>
    <row r="16" spans="1:2" ht="15" customHeight="1">
      <c r="A16" s="11" t="s">
        <v>71</v>
      </c>
      <c r="B16" s="12">
        <v>18912490</v>
      </c>
    </row>
  </sheetData>
  <conditionalFormatting sqref="B11:B13">
    <cfRule type="expression" dxfId="1" priority="1">
      <formula>LEFT(B11,1)="✔"</formula>
    </cfRule>
    <cfRule type="expression" dxfId="0" priority="2">
      <formula>LEFT(B11,1)="✘"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dq_summary</vt:lpstr>
      <vt:lpstr>Findings_Log</vt:lpstr>
      <vt:lpstr>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shreejaraghavan@outlook.com</cp:lastModifiedBy>
  <dcterms:created xsi:type="dcterms:W3CDTF">2026-10-03T17:31:55Z</dcterms:created>
  <dcterms:modified xsi:type="dcterms:W3CDTF">2026-10-04T15:09:31Z</dcterms:modified>
</cp:coreProperties>
</file>